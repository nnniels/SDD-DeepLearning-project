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521076\Pro_start\SDD-DeepLearning-project\"/>
    </mc:Choice>
  </mc:AlternateContent>
  <xr:revisionPtr revIDLastSave="0" documentId="13_ncr:1_{6A35DDB2-17C7-4142-AEB1-B9160A25765B}" xr6:coauthVersionLast="47" xr6:coauthVersionMax="47" xr10:uidLastSave="{00000000-0000-0000-0000-000000000000}"/>
  <bookViews>
    <workbookView xWindow="-108" yWindow="-108" windowWidth="23256" windowHeight="13896" xr2:uid="{71662CC6-9696-42AA-B387-950B05AC2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C11" i="1"/>
  <c r="D11" i="1"/>
  <c r="D15" i="1" s="1"/>
  <c r="C15" i="1"/>
  <c r="D3" i="1"/>
  <c r="D4" i="1"/>
  <c r="D2" i="1"/>
  <c r="B15" i="1"/>
  <c r="B12" i="1"/>
  <c r="B11" i="1"/>
</calcChain>
</file>

<file path=xl/sharedStrings.xml><?xml version="1.0" encoding="utf-8"?>
<sst xmlns="http://schemas.openxmlformats.org/spreadsheetml/2006/main" count="19" uniqueCount="18">
  <si>
    <t>Train</t>
  </si>
  <si>
    <t>Test</t>
  </si>
  <si>
    <t>Tokens/histoire</t>
  </si>
  <si>
    <t>Histoires en clair</t>
  </si>
  <si>
    <t>Histoires chunkées : des blocs de block_size 128</t>
  </si>
  <si>
    <t>Histoires chunkées : des blocs de block_size 64</t>
  </si>
  <si>
    <t>~ 180 mots</t>
  </si>
  <si>
    <t>Entrainement : bloc_size</t>
  </si>
  <si>
    <t>Entrainement : batch_size</t>
  </si>
  <si>
    <t>Entrainement : iter</t>
  </si>
  <si>
    <t>Nombres de tokens vus</t>
  </si>
  <si>
    <t>Nombre de tokens total</t>
  </si>
  <si>
    <t>il faut diviser par 8 la taille du jeu d'entrainement</t>
  </si>
  <si>
    <t>Paramètres</t>
  </si>
  <si>
    <t>Tokens/param</t>
  </si>
  <si>
    <t xml:space="preserve"> ce qui nous amène à environ 1 token / paramètre</t>
  </si>
  <si>
    <t>Train 10%</t>
  </si>
  <si>
    <t>Avec plus d'iter et de batches, on est à plus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</si>
</sst>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46E1-9013-4D7E-A0F7-F80FC684E721}">
  <dimension ref="A1:D24"/>
  <sheetViews>
    <sheetView tabSelected="1" workbookViewId="0">
      <selection activeCell="D10" sqref="D10"/>
    </sheetView>
  </sheetViews>
  <sheetFormatPr defaultRowHeight="14.4" x14ac:dyDescent="0.3"/>
  <cols>
    <col min="1" max="1" width="23.33203125" style="1" customWidth="1"/>
    <col min="2" max="2" width="21.6640625" style="1" customWidth="1"/>
    <col min="3" max="3" width="23.77734375" style="1" customWidth="1"/>
    <col min="4" max="4" width="20.6640625" style="1" customWidth="1"/>
    <col min="5" max="16384" width="8.88671875" style="1"/>
  </cols>
  <sheetData>
    <row r="1" spans="1:4" ht="25.05" customHeight="1" x14ac:dyDescent="0.3">
      <c r="B1" s="1" t="s">
        <v>0</v>
      </c>
      <c r="C1" s="1" t="s">
        <v>1</v>
      </c>
      <c r="D1" s="1" t="s">
        <v>16</v>
      </c>
    </row>
    <row r="2" spans="1:4" ht="25.05" customHeight="1" x14ac:dyDescent="0.3">
      <c r="A2" s="1" t="s">
        <v>3</v>
      </c>
      <c r="B2" s="2">
        <v>2119719</v>
      </c>
      <c r="C2" s="2">
        <v>21990</v>
      </c>
      <c r="D2" s="3">
        <f>ROUND(0.1*B2, 0)</f>
        <v>211972</v>
      </c>
    </row>
    <row r="3" spans="1:4" ht="47.4" customHeight="1" x14ac:dyDescent="0.3">
      <c r="A3" s="1" t="s">
        <v>4</v>
      </c>
      <c r="B3" s="2">
        <v>3625009</v>
      </c>
      <c r="C3" s="2">
        <v>36430</v>
      </c>
      <c r="D3" s="3">
        <f t="shared" ref="D3:D4" si="0">ROUND(0.1*B3, 0)</f>
        <v>362501</v>
      </c>
    </row>
    <row r="4" spans="1:4" ht="37.799999999999997" customHeight="1" x14ac:dyDescent="0.3">
      <c r="A4" s="1" t="s">
        <v>5</v>
      </c>
      <c r="B4" s="2">
        <v>7226918</v>
      </c>
      <c r="C4" s="2">
        <v>72639</v>
      </c>
      <c r="D4" s="3">
        <f t="shared" si="0"/>
        <v>722692</v>
      </c>
    </row>
    <row r="5" spans="1:4" ht="25.05" customHeight="1" x14ac:dyDescent="0.3">
      <c r="D5" s="3"/>
    </row>
    <row r="6" spans="1:4" ht="25.05" customHeight="1" x14ac:dyDescent="0.3">
      <c r="A6" s="1" t="s">
        <v>2</v>
      </c>
      <c r="B6" s="1" t="s">
        <v>6</v>
      </c>
      <c r="C6" s="1" t="s">
        <v>6</v>
      </c>
      <c r="D6" s="3"/>
    </row>
    <row r="7" spans="1:4" ht="25.05" customHeight="1" x14ac:dyDescent="0.3">
      <c r="D7" s="3"/>
    </row>
    <row r="8" spans="1:4" ht="25.05" customHeight="1" x14ac:dyDescent="0.3">
      <c r="A8" s="1" t="s">
        <v>7</v>
      </c>
      <c r="B8" s="1">
        <v>128</v>
      </c>
      <c r="D8" s="3">
        <v>64</v>
      </c>
    </row>
    <row r="9" spans="1:4" ht="25.05" customHeight="1" x14ac:dyDescent="0.3">
      <c r="A9" s="1" t="s">
        <v>8</v>
      </c>
      <c r="B9" s="1">
        <v>32</v>
      </c>
      <c r="D9" s="3">
        <v>32</v>
      </c>
    </row>
    <row r="10" spans="1:4" ht="25.05" customHeight="1" x14ac:dyDescent="0.3">
      <c r="A10" s="1" t="s">
        <v>9</v>
      </c>
      <c r="B10" s="2">
        <v>50000</v>
      </c>
      <c r="D10" s="3">
        <v>80000</v>
      </c>
    </row>
    <row r="11" spans="1:4" ht="25.05" customHeight="1" x14ac:dyDescent="0.3">
      <c r="A11" s="1" t="s">
        <v>10</v>
      </c>
      <c r="B11" s="3">
        <f>B8*B9*B10</f>
        <v>204800000</v>
      </c>
      <c r="C11" s="3">
        <f t="shared" ref="C11:D11" si="1">C8*C9*C10</f>
        <v>0</v>
      </c>
      <c r="D11" s="3">
        <f t="shared" si="1"/>
        <v>163840000</v>
      </c>
    </row>
    <row r="12" spans="1:4" ht="25.05" customHeight="1" x14ac:dyDescent="0.3">
      <c r="A12" s="1" t="s">
        <v>11</v>
      </c>
      <c r="B12" s="3">
        <f>B3*128</f>
        <v>464001152</v>
      </c>
      <c r="C12" s="3">
        <f t="shared" ref="C12:D12" si="2">C3*128</f>
        <v>4663040</v>
      </c>
      <c r="D12" s="3">
        <f t="shared" si="2"/>
        <v>46400128</v>
      </c>
    </row>
    <row r="13" spans="1:4" ht="25.05" customHeight="1" x14ac:dyDescent="0.3">
      <c r="B13" s="1" t="s">
        <v>12</v>
      </c>
      <c r="D13" s="3"/>
    </row>
    <row r="14" spans="1:4" ht="25.05" customHeight="1" x14ac:dyDescent="0.3">
      <c r="A14" s="1" t="s">
        <v>13</v>
      </c>
      <c r="B14" s="2">
        <v>27630000</v>
      </c>
      <c r="C14" s="2">
        <v>27630000</v>
      </c>
      <c r="D14" s="2">
        <v>27630000</v>
      </c>
    </row>
    <row r="15" spans="1:4" ht="25.05" customHeight="1" x14ac:dyDescent="0.3">
      <c r="A15" s="1" t="s">
        <v>14</v>
      </c>
      <c r="B15" s="4">
        <f>B11/B14</f>
        <v>7.4122330799855227</v>
      </c>
      <c r="C15" s="4">
        <f t="shared" ref="C15:D15" si="3">C11/C14</f>
        <v>0</v>
      </c>
      <c r="D15" s="4">
        <f t="shared" si="3"/>
        <v>5.9297864639884184</v>
      </c>
    </row>
    <row r="16" spans="1:4" ht="50.4" customHeight="1" x14ac:dyDescent="0.3">
      <c r="B16" s="1" t="s">
        <v>15</v>
      </c>
      <c r="D16" s="1" t="s">
        <v>17</v>
      </c>
    </row>
    <row r="17" ht="25.05" customHeight="1" x14ac:dyDescent="0.3"/>
    <row r="18" ht="25.05" customHeight="1" x14ac:dyDescent="0.3"/>
    <row r="19" ht="25.05" customHeight="1" x14ac:dyDescent="0.3"/>
    <row r="20" ht="25.05" customHeight="1" x14ac:dyDescent="0.3"/>
    <row r="21" ht="25.05" customHeight="1" x14ac:dyDescent="0.3"/>
    <row r="22" ht="25.05" customHeight="1" x14ac:dyDescent="0.3"/>
    <row r="23" ht="25.05" customHeight="1" x14ac:dyDescent="0.3"/>
    <row r="24" ht="25.0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Albrecht</dc:creator>
  <cp:lastModifiedBy>Niels Albrecht</cp:lastModifiedBy>
  <dcterms:created xsi:type="dcterms:W3CDTF">2026-01-28T09:54:15Z</dcterms:created>
  <dcterms:modified xsi:type="dcterms:W3CDTF">2026-01-28T15:03:12Z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2026-01-28T10:09:42Z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e3503935-a2c6-42f0-97a2-97214eec05e6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